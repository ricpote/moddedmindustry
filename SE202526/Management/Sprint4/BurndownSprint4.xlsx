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mas\IdeaProjects\MindustryGroupProjectPrivate\SE202526\Management\Sprint4\"/>
    </mc:Choice>
  </mc:AlternateContent>
  <xr:revisionPtr revIDLastSave="0" documentId="13_ncr:1_{E3DEC150-490E-49B5-9551-CB4E32427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de4+RiBgnJNVS3FoYcQmjVA71wbBpPW+Rf3W4dFwk="/>
    </ext>
  </extLst>
</workbook>
</file>

<file path=xl/calcChain.xml><?xml version="1.0" encoding="utf-8"?>
<calcChain xmlns="http://schemas.openxmlformats.org/spreadsheetml/2006/main">
  <c r="J20" i="1" l="1"/>
  <c r="K20" i="1"/>
  <c r="D21" i="1"/>
  <c r="D22" i="1" s="1"/>
  <c r="J22" i="1" s="1"/>
  <c r="I20" i="1"/>
  <c r="H20" i="1"/>
  <c r="G20" i="1"/>
  <c r="F20" i="1"/>
  <c r="E20" i="1"/>
  <c r="K22" i="1" l="1"/>
  <c r="E21" i="1"/>
  <c r="F21" i="1" s="1"/>
  <c r="G21" i="1" s="1"/>
  <c r="H21" i="1" s="1"/>
  <c r="I21" i="1" s="1"/>
  <c r="J21" i="1" s="1"/>
  <c r="K21" i="1" s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<sst xmlns="http://schemas.openxmlformats.org/spreadsheetml/2006/main" count="20" uniqueCount="20">
  <si>
    <t>Sprint Burndown Chart</t>
  </si>
  <si>
    <t>Task ID</t>
  </si>
  <si>
    <t>Task Description</t>
  </si>
  <si>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</si>
  <si>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</si>
  <si>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</si>
  <si>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</si>
  <si>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</si>
  <si>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</si>
  <si>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</si>
  <si>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</si>
  <si>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</si>
  <si>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Completed Effort</t>
  </si>
  <si>
    <t>Remaining Effort</t>
  </si>
  <si>
    <t>Ideal Burndown</t>
  </si>
  <si>
    <t>Identificar design patterns.</t>
  </si>
  <si>
    <t>Sprint 3</t>
  </si>
  <si>
    <t>Identificar Code Smells</t>
  </si>
  <si>
    <t>Identificar Code Metrics</t>
  </si>
  <si>
    <t>Fazer Use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</si>
</sst>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"/>
  </numFmts>
  <fonts count="5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5" borderId="9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5" fontId="3" fillId="9" borderId="17" xfId="0" applyNumberFormat="1" applyFont="1" applyFill="1" applyBorder="1" applyAlignment="1">
      <alignment horizontal="center"/>
    </xf>
    <xf numFmtId="165" fontId="3" fillId="9" borderId="18" xfId="0" applyNumberFormat="1" applyFont="1" applyFill="1" applyBorder="1" applyAlignment="1">
      <alignment horizontal="center"/>
    </xf>
    <xf numFmtId="165" fontId="3" fillId="9" borderId="21" xfId="0" applyNumberFormat="1" applyFont="1" applyFill="1" applyBorder="1" applyAlignment="1">
      <alignment horizontal="center"/>
    </xf>
    <xf numFmtId="165" fontId="3" fillId="9" borderId="30" xfId="0" applyNumberFormat="1" applyFont="1" applyFill="1" applyBorder="1" applyAlignment="1">
      <alignment horizontal="center"/>
    </xf>
    <xf numFmtId="165" fontId="3" fillId="9" borderId="3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5" fontId="3" fillId="10" borderId="14" xfId="0" applyNumberFormat="1" applyFont="1" applyFill="1" applyBorder="1" applyAlignment="1">
      <alignment horizontal="center"/>
    </xf>
    <xf numFmtId="165" fontId="3" fillId="10" borderId="34" xfId="0" applyNumberFormat="1" applyFont="1" applyFill="1" applyBorder="1" applyAlignment="1">
      <alignment horizontal="center"/>
    </xf>
    <xf numFmtId="0" fontId="3" fillId="6" borderId="19" xfId="0" quotePrefix="1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8" xfId="0" applyFont="1" applyFill="1" applyBorder="1" applyAlignment="1">
      <alignment horizontal="center"/>
    </xf>
    <xf numFmtId="0" fontId="2" fillId="0" borderId="29" xfId="0" applyFont="1" applyBorder="1"/>
    <xf numFmtId="0" fontId="4" fillId="10" borderId="32" xfId="0" applyFont="1" applyFill="1" applyBorder="1" applyAlignment="1">
      <alignment horizontal="center"/>
    </xf>
    <xf numFmtId="0" fontId="2" fillId="0" borderId="3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518014793605342E-2"/>
          <c:y val="9.6400259909031852E-2"/>
          <c:w val="0.92598923158320623"/>
          <c:h val="0.77603597795889545"/>
        </c:manualLayout>
      </c:layout>
      <c:barChart>
        <c:barDir val="col"/>
        <c:grouping val="stack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022389"/>
        <c:axId val="802506122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20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3-4FD7-8087-FD8C323B8F34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26</c:v>
                </c:pt>
                <c:pt idx="1">
                  <c:v>23.4</c:v>
                </c:pt>
                <c:pt idx="2">
                  <c:v>20.8</c:v>
                </c:pt>
                <c:pt idx="3">
                  <c:v>18.2</c:v>
                </c:pt>
                <c:pt idx="4">
                  <c:v>15.6</c:v>
                </c:pt>
                <c:pt idx="5">
                  <c:v>13</c:v>
                </c:pt>
                <c:pt idx="6">
                  <c:v>10.399999999999999</c:v>
                </c:pt>
                <c:pt idx="7">
                  <c:v>7.8000000000000007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22389"/>
        <c:axId val="802506122"/>
      </c:lineChart>
      <c:catAx>
        <c:axId val="80802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2506122"/>
        <c:crosses val="autoZero"/>
        <c:auto val="1"/>
        <c:lblAlgn val="ctr"/>
        <c:lblOffset val="100"/>
        <c:noMultiLvlLbl val="1"/>
      </c:catAx>
      <c:valAx>
        <c:axId val="802506122"/>
        <c:scaling>
          <c:orientation val="minMax"/>
          <c:max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80223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22</xdr:row>
      <xdr:rowOff>171450</xdr:rowOff>
    </xdr:from>
    <xdr:ext cx="9639300" cy="4886325"/>
    <xdr:graphicFrame macro="">
      <xdr:nvGraphicFramePr>
        <xdr:cNvPr id="492338904" name="Chart 1">
          <a:extLst>
            <a:ext uri="{FF2B5EF4-FFF2-40B4-BE49-F238E27FC236}">
              <a16:creationId xmlns:a16="http://schemas.microsoft.com/office/drawing/2014/main" id="{00000000-0008-0000-0000-0000D87E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10" sqref="N10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4.42578125" customWidth="1"/>
    <col min="5" max="14" width="10" customWidth="1"/>
    <col min="15" max="26" width="8.7109375" customWidth="1"/>
  </cols>
  <sheetData>
    <row r="1" spans="2:14" ht="14.25" customHeight="1" x14ac:dyDescent="0.25"/>
    <row r="2" spans="2:14" ht="14.25" customHeight="1" thickBot="1" x14ac:dyDescent="0.45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2:14" ht="14.25" customHeight="1" thickBot="1" x14ac:dyDescent="0.3">
      <c r="B3" s="1"/>
      <c r="C3" s="2"/>
      <c r="D3" s="2"/>
      <c r="E3" s="50" t="s">
        <v>16</v>
      </c>
      <c r="F3" s="48"/>
      <c r="G3" s="48"/>
      <c r="H3" s="48"/>
      <c r="I3" s="51"/>
    </row>
    <row r="4" spans="2:14" ht="14.25" customHeight="1" x14ac:dyDescent="0.25">
      <c r="B4" s="52" t="s">
        <v>1</v>
      </c>
      <c r="C4" s="54" t="s">
        <v>2</v>
      </c>
      <c r="D4" s="3" t="s">
        <v>3</v>
      </c>
      <c r="E4" s="4">
        <v>45964</v>
      </c>
      <c r="F4" s="5">
        <v>45965</v>
      </c>
      <c r="G4" s="5">
        <v>45966</v>
      </c>
      <c r="H4" s="5">
        <v>45967</v>
      </c>
      <c r="I4" s="6">
        <v>45968</v>
      </c>
      <c r="J4" s="4">
        <v>45969</v>
      </c>
      <c r="K4" s="5">
        <v>45970</v>
      </c>
    </row>
    <row r="5" spans="2:14" ht="14.25" customHeight="1" thickBot="1" x14ac:dyDescent="0.3">
      <c r="B5" s="53"/>
      <c r="C5" s="55"/>
      <c r="D5" s="7" t="s">
        <v>4</v>
      </c>
      <c r="E5" s="8" t="s">
        <v>5</v>
      </c>
      <c r="F5" s="9" t="s">
        <v>6</v>
      </c>
      <c r="G5" s="9" t="s">
        <v>7</v>
      </c>
      <c r="H5" s="9" t="s">
        <v>8</v>
      </c>
      <c r="I5" s="10" t="s">
        <v>9</v>
      </c>
      <c r="J5" s="8" t="s">
        <v>10</v>
      </c>
      <c r="K5" s="9" t="s">
        <v>11</v>
      </c>
    </row>
    <row r="6" spans="2:14" ht="14.25" customHeight="1" x14ac:dyDescent="0.25">
      <c r="B6" s="11">
        <v>1</v>
      </c>
      <c r="C6" s="12" t="s">
        <v>15</v>
      </c>
      <c r="D6" s="13">
        <v>5</v>
      </c>
      <c r="E6" s="14">
        <v>1</v>
      </c>
      <c r="F6" s="15"/>
      <c r="G6" s="15">
        <v>1</v>
      </c>
      <c r="H6" s="15">
        <v>2</v>
      </c>
      <c r="I6" s="16">
        <v>1</v>
      </c>
      <c r="J6" s="14"/>
      <c r="K6" s="15"/>
    </row>
    <row r="7" spans="2:14" ht="14.25" customHeight="1" x14ac:dyDescent="0.25">
      <c r="B7" s="17">
        <v>2</v>
      </c>
      <c r="C7" s="18" t="s">
        <v>17</v>
      </c>
      <c r="D7" s="19">
        <v>7</v>
      </c>
      <c r="E7" s="20"/>
      <c r="F7" s="21"/>
      <c r="G7" s="21">
        <v>3</v>
      </c>
      <c r="H7" s="21">
        <v>3</v>
      </c>
      <c r="I7" s="22">
        <v>1</v>
      </c>
      <c r="J7" s="23"/>
      <c r="K7" s="21"/>
    </row>
    <row r="8" spans="2:14" ht="14.25" customHeight="1" x14ac:dyDescent="0.25">
      <c r="B8" s="17">
        <v>3</v>
      </c>
      <c r="C8" s="18" t="s">
        <v>18</v>
      </c>
      <c r="D8" s="19">
        <v>7</v>
      </c>
      <c r="E8" s="24"/>
      <c r="F8" s="21"/>
      <c r="G8" s="21">
        <v>1</v>
      </c>
      <c r="H8" s="21">
        <v>3</v>
      </c>
      <c r="I8" s="22">
        <v>3</v>
      </c>
      <c r="J8" s="23"/>
      <c r="K8" s="21"/>
    </row>
    <row r="9" spans="2:14" ht="14.25" customHeight="1" x14ac:dyDescent="0.25">
      <c r="B9" s="17">
        <v>4</v>
      </c>
      <c r="C9" s="18" t="s">
        <v>19</v>
      </c>
      <c r="D9" s="40">
        <v>7</v>
      </c>
      <c r="E9" s="25"/>
      <c r="F9" s="21"/>
      <c r="G9" s="21"/>
      <c r="H9" s="21">
        <v>1</v>
      </c>
      <c r="I9" s="22">
        <v>6</v>
      </c>
      <c r="J9" s="23"/>
      <c r="K9" s="21"/>
    </row>
    <row r="10" spans="2:14" ht="14.25" customHeight="1" x14ac:dyDescent="0.25">
      <c r="B10" s="17">
        <v>5</v>
      </c>
      <c r="C10" s="18"/>
      <c r="D10" s="19"/>
      <c r="E10" s="23"/>
      <c r="F10" s="21"/>
      <c r="G10" s="21"/>
      <c r="H10" s="21"/>
      <c r="I10" s="22"/>
      <c r="J10" s="23"/>
      <c r="K10" s="21"/>
    </row>
    <row r="11" spans="2:14" ht="14.25" customHeight="1" x14ac:dyDescent="0.25">
      <c r="B11" s="17">
        <v>6</v>
      </c>
      <c r="C11" s="18"/>
      <c r="D11" s="19"/>
      <c r="E11" s="23"/>
      <c r="F11" s="21"/>
      <c r="G11" s="21"/>
      <c r="H11" s="21"/>
      <c r="I11" s="22"/>
      <c r="J11" s="23"/>
      <c r="K11" s="21"/>
    </row>
    <row r="12" spans="2:14" ht="14.25" customHeight="1" x14ac:dyDescent="0.25">
      <c r="B12" s="17">
        <v>7</v>
      </c>
      <c r="C12" s="18"/>
      <c r="D12" s="19"/>
      <c r="E12" s="23"/>
      <c r="F12" s="21"/>
      <c r="G12" s="21"/>
      <c r="H12" s="21"/>
      <c r="I12" s="22"/>
      <c r="J12" s="23"/>
      <c r="K12" s="21"/>
    </row>
    <row r="13" spans="2:14" ht="14.25" customHeight="1" x14ac:dyDescent="0.25">
      <c r="B13" s="17">
        <v>8</v>
      </c>
      <c r="C13" s="18"/>
      <c r="D13" s="19"/>
      <c r="E13" s="23"/>
      <c r="F13" s="21"/>
      <c r="G13" s="21"/>
      <c r="H13" s="21"/>
      <c r="I13" s="22"/>
      <c r="J13" s="23"/>
      <c r="K13" s="21"/>
    </row>
    <row r="14" spans="2:14" ht="14.25" customHeight="1" x14ac:dyDescent="0.25">
      <c r="B14" s="17">
        <v>9</v>
      </c>
      <c r="C14" s="18"/>
      <c r="D14" s="19"/>
      <c r="E14" s="23"/>
      <c r="F14" s="21"/>
      <c r="G14" s="21"/>
      <c r="H14" s="21"/>
      <c r="I14" s="22"/>
      <c r="J14" s="23"/>
      <c r="K14" s="21"/>
    </row>
    <row r="15" spans="2:14" ht="14.25" customHeight="1" x14ac:dyDescent="0.25">
      <c r="B15" s="17">
        <v>10</v>
      </c>
      <c r="C15" s="18"/>
      <c r="D15" s="19"/>
      <c r="E15" s="23"/>
      <c r="F15" s="21"/>
      <c r="G15" s="21"/>
      <c r="H15" s="21"/>
      <c r="I15" s="22"/>
      <c r="J15" s="23"/>
      <c r="K15" s="21"/>
    </row>
    <row r="16" spans="2:14" ht="14.25" customHeight="1" x14ac:dyDescent="0.25">
      <c r="B16" s="17">
        <v>11</v>
      </c>
      <c r="C16" s="26"/>
      <c r="D16" s="19"/>
      <c r="E16" s="23"/>
      <c r="F16" s="21"/>
      <c r="G16" s="21"/>
      <c r="H16" s="21"/>
      <c r="I16" s="22"/>
      <c r="J16" s="23"/>
      <c r="K16" s="21"/>
    </row>
    <row r="17" spans="2:11" ht="14.25" customHeight="1" x14ac:dyDescent="0.25">
      <c r="B17" s="17">
        <v>12</v>
      </c>
      <c r="C17" s="18"/>
      <c r="D17" s="19"/>
      <c r="E17" s="23"/>
      <c r="F17" s="21"/>
      <c r="G17" s="21"/>
      <c r="H17" s="21"/>
      <c r="I17" s="22"/>
      <c r="J17" s="23"/>
      <c r="K17" s="21"/>
    </row>
    <row r="18" spans="2:11" ht="14.25" customHeight="1" x14ac:dyDescent="0.25">
      <c r="B18" s="17">
        <v>13</v>
      </c>
      <c r="C18" s="18"/>
      <c r="D18" s="19"/>
      <c r="E18" s="23"/>
      <c r="F18" s="21"/>
      <c r="G18" s="21"/>
      <c r="H18" s="21"/>
      <c r="I18" s="22"/>
      <c r="J18" s="23"/>
      <c r="K18" s="21"/>
    </row>
    <row r="19" spans="2:11" ht="14.25" customHeight="1" thickBot="1" x14ac:dyDescent="0.3">
      <c r="B19" s="17">
        <v>14</v>
      </c>
      <c r="C19" s="18"/>
      <c r="D19" s="19"/>
      <c r="E19" s="23"/>
      <c r="F19" s="21"/>
      <c r="G19" s="21"/>
      <c r="H19" s="21"/>
      <c r="I19" s="22"/>
      <c r="J19" s="23"/>
      <c r="K19" s="21"/>
    </row>
    <row r="20" spans="2:11" ht="14.25" customHeight="1" x14ac:dyDescent="0.25">
      <c r="B20" s="41" t="s">
        <v>12</v>
      </c>
      <c r="C20" s="42"/>
      <c r="D20" s="27">
        <v>0</v>
      </c>
      <c r="E20" s="28">
        <f t="shared" ref="E20:K20" si="0">SUM(E6:E19)</f>
        <v>1</v>
      </c>
      <c r="F20" s="29">
        <f t="shared" si="0"/>
        <v>0</v>
      </c>
      <c r="G20" s="29">
        <f t="shared" si="0"/>
        <v>5</v>
      </c>
      <c r="H20" s="29">
        <f t="shared" si="0"/>
        <v>9</v>
      </c>
      <c r="I20" s="30">
        <f t="shared" si="0"/>
        <v>11</v>
      </c>
      <c r="J20" s="28">
        <f t="shared" si="0"/>
        <v>0</v>
      </c>
      <c r="K20" s="29">
        <f t="shared" si="0"/>
        <v>0</v>
      </c>
    </row>
    <row r="21" spans="2:11" ht="14.25" customHeight="1" x14ac:dyDescent="0.25">
      <c r="B21" s="43" t="s">
        <v>13</v>
      </c>
      <c r="C21" s="44"/>
      <c r="D21" s="31">
        <f>SUM(D6:D20)</f>
        <v>26</v>
      </c>
      <c r="E21" s="32">
        <f t="shared" ref="E21:K21" si="1">D21-SUM(E6:E19)</f>
        <v>25</v>
      </c>
      <c r="F21" s="33">
        <f t="shared" si="1"/>
        <v>25</v>
      </c>
      <c r="G21" s="33">
        <f t="shared" si="1"/>
        <v>20</v>
      </c>
      <c r="H21" s="33">
        <f t="shared" si="1"/>
        <v>11</v>
      </c>
      <c r="I21" s="34">
        <f t="shared" si="1"/>
        <v>0</v>
      </c>
      <c r="J21" s="35">
        <f t="shared" si="1"/>
        <v>0</v>
      </c>
      <c r="K21" s="36">
        <f t="shared" si="1"/>
        <v>0</v>
      </c>
    </row>
    <row r="22" spans="2:11" ht="14.25" customHeight="1" thickBot="1" x14ac:dyDescent="0.3">
      <c r="B22" s="45" t="s">
        <v>14</v>
      </c>
      <c r="C22" s="46"/>
      <c r="D22" s="37">
        <f>D21</f>
        <v>26</v>
      </c>
      <c r="E22" s="38">
        <f>$D$22-($D$22/10*1)</f>
        <v>23.4</v>
      </c>
      <c r="F22" s="38">
        <f>$D$22-($D$22/10*2)</f>
        <v>20.8</v>
      </c>
      <c r="G22" s="38">
        <f>$D$22-($D$22/10*3)</f>
        <v>18.2</v>
      </c>
      <c r="H22" s="38">
        <f>$D$22-($D$22/10*4)</f>
        <v>15.6</v>
      </c>
      <c r="I22" s="39">
        <f>$D$22-($D$22/10*5)</f>
        <v>13</v>
      </c>
      <c r="J22" s="38">
        <f>$D$22-($D$22/10*6)</f>
        <v>10.399999999999999</v>
      </c>
      <c r="K22" s="38">
        <f>$D$22-($D$22/10*7)</f>
        <v>7.8000000000000007</v>
      </c>
    </row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B20:C20"/>
    <mergeCell ref="B21:C21"/>
    <mergeCell ref="B22:C22"/>
    <mergeCell ref="B2:N2"/>
    <mergeCell ref="E3:I3"/>
    <mergeCell ref="B4:B5"/>
    <mergeCell ref="C4:C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Tomas Moreira da Silva</cp:lastModifiedBy>
  <dcterms:created xsi:type="dcterms:W3CDTF">2021-11-14T17:33:15Z</dcterms:created>
  <dcterms:modified xsi:type="dcterms:W3CDTF">2025-11-12T19:10:35Z</dcterms:modified>
</cp:coreProperties>
</file>