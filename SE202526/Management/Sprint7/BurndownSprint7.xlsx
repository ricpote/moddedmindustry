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omas\IdeaProjects\MindustryGroupProjectPrivate\SE202526\Management\Sprint7\"/>
    </mc:Choice>
  </mc:AlternateContent>
  <xr:revisionPtr revIDLastSave="0" documentId="13_ncr:1_{47644BC2-2E44-499E-BB8B-7F3A8468449E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Burndown Ch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fwde4+RiBgnJNVS3FoYcQmjVA71wbBpPW+Rf3W4dFwk="/>
    </ext>
  </extLst>
</workbook>
</file>

<file path=xl/calcChain.xml><?xml version="1.0" encoding="utf-8"?>
<calcChain xmlns="http://schemas.openxmlformats.org/spreadsheetml/2006/main">
  <c r="O20" i="1" l="1"/>
  <c r="L20" i="1"/>
  <c r="M20" i="1"/>
  <c r="N20" i="1"/>
  <c r="J20" i="1"/>
  <c r="K20" i="1"/>
  <c r="D21" i="1"/>
  <c r="D22" i="1" s="1"/>
  <c r="J22" i="1" s="1"/>
  <c r="I20" i="1"/>
  <c r="H20" i="1"/>
  <c r="G20" i="1"/>
  <c r="F20" i="1"/>
  <c r="E20" i="1"/>
  <c r="O22" i="1" l="1"/>
  <c r="N22" i="1"/>
  <c r="M22" i="1"/>
  <c r="L22" i="1"/>
  <c r="K22" i="1"/>
  <c r="E21" i="1"/>
  <c r="F21" i="1" s="1"/>
  <c r="G21" i="1" s="1"/>
  <c r="H21" i="1" s="1"/>
  <c r="I21" i="1" s="1"/>
  <c r="J21" i="1" s="1"/>
  <c r="K21" i="1" s="1"/>
  <c r="L21" i="1" s="1"/>
  <c r="M21" i="1" s="1"/>
  <c r="N21" i="1" s="1"/>
  <c r="O21" i="1" s="1"/>
  <c r="I22" i="1"/>
  <c r="H22" i="1"/>
  <c r="G22" i="1"/>
  <c r="F22" i="1"/>
  <c r="E22" i="1"/>
</calcChain>
</file>

<file path=xl/sharedStrings.xml><?xml version="1.0" encoding="utf-8"?>
<sst xmlns="http://schemas.openxmlformats.org/spreadsheetml/2006/main" count="28" uniqueCount="28">
  <si>
    <t>Sprint Burndown Chart</t>
  </si>
  <si>
    <t>Task ID</t>
  </si>
  <si>
    <t>Task Description</t>
  </si>
  <si>
    <t>Initial Estimate</t>
  </si>
  <si>
    <t>Day 0</t>
  </si>
  <si>
    <t>Day 1</t>
  </si>
  <si>
    <t>Day 2</t>
  </si>
  <si>
    <t>Day 3</t>
  </si>
  <si>
    <t>Day 4</t>
  </si>
  <si>
    <t>Day 5</t>
  </si>
  <si>
    <t>Day 6</t>
  </si>
  <si>
    <t>Day 7</t>
  </si>
  <si>
    <t>Completed Effort</t>
  </si>
  <si>
    <t>Remaining Effort</t>
  </si>
  <si>
    <t>Ideal Burndown</t>
  </si>
  <si>
    <t>Acabar de implementar o gerador de mapa semanal</t>
  </si>
  <si>
    <t>0.5</t>
  </si>
  <si>
    <t>Acabar de implementar a parte do Terramoto e Tsunami</t>
  </si>
  <si>
    <t>Fazer abstract class para as catástrofes naturais</t>
  </si>
  <si>
    <t>Fazer resource bot trader</t>
  </si>
  <si>
    <t>Fazer as tarefas do milestone3</t>
  </si>
  <si>
    <t>Day 8</t>
  </si>
  <si>
    <t>Day 9</t>
  </si>
  <si>
    <t>Day 10</t>
  </si>
  <si>
    <t>Sprint 7</t>
  </si>
  <si>
    <t>Sprinte 7</t>
  </si>
  <si>
    <t>Day 11</t>
  </si>
  <si>
    <t>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</si>
</sst>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"/>
    <numFmt numFmtId="165" formatCode="0.0"/>
  </numFmts>
  <fonts count="6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3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164" fontId="4" fillId="3" borderId="8" xfId="0" applyNumberFormat="1" applyFont="1" applyFill="1" applyBorder="1" applyAlignment="1">
      <alignment horizontal="center"/>
    </xf>
    <xf numFmtId="164" fontId="4" fillId="3" borderId="9" xfId="0" applyNumberFormat="1" applyFont="1" applyFill="1" applyBorder="1" applyAlignment="1">
      <alignment horizontal="center"/>
    </xf>
    <xf numFmtId="164" fontId="4" fillId="3" borderId="10" xfId="0" applyNumberFormat="1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4" fillId="3" borderId="15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right" wrapText="1"/>
    </xf>
    <xf numFmtId="0" fontId="3" fillId="5" borderId="9" xfId="0" applyFont="1" applyFill="1" applyBorder="1" applyAlignment="1">
      <alignment wrapText="1"/>
    </xf>
    <xf numFmtId="0" fontId="3" fillId="6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/>
    </xf>
    <xf numFmtId="0" fontId="3" fillId="5" borderId="17" xfId="0" applyFont="1" applyFill="1" applyBorder="1" applyAlignment="1">
      <alignment horizontal="right" wrapText="1"/>
    </xf>
    <xf numFmtId="0" fontId="3" fillId="5" borderId="18" xfId="0" applyFont="1" applyFill="1" applyBorder="1" applyAlignment="1">
      <alignment wrapText="1"/>
    </xf>
    <xf numFmtId="0" fontId="3" fillId="6" borderId="19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7" borderId="18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7" borderId="17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left" wrapText="1"/>
    </xf>
    <xf numFmtId="0" fontId="3" fillId="8" borderId="7" xfId="0" applyFont="1" applyFill="1" applyBorder="1" applyAlignment="1">
      <alignment horizontal="center"/>
    </xf>
    <xf numFmtId="0" fontId="3" fillId="8" borderId="8" xfId="0" applyFont="1" applyFill="1" applyBorder="1" applyAlignment="1">
      <alignment horizontal="center"/>
    </xf>
    <xf numFmtId="0" fontId="3" fillId="8" borderId="26" xfId="0" applyFont="1" applyFill="1" applyBorder="1" applyAlignment="1">
      <alignment horizontal="center"/>
    </xf>
    <xf numFmtId="0" fontId="3" fillId="8" borderId="27" xfId="0" applyFont="1" applyFill="1" applyBorder="1" applyAlignment="1">
      <alignment horizontal="center"/>
    </xf>
    <xf numFmtId="0" fontId="3" fillId="9" borderId="19" xfId="0" applyFont="1" applyFill="1" applyBorder="1" applyAlignment="1">
      <alignment horizontal="center"/>
    </xf>
    <xf numFmtId="165" fontId="3" fillId="9" borderId="17" xfId="0" applyNumberFormat="1" applyFont="1" applyFill="1" applyBorder="1" applyAlignment="1">
      <alignment horizontal="center"/>
    </xf>
    <xf numFmtId="165" fontId="3" fillId="9" borderId="18" xfId="0" applyNumberFormat="1" applyFont="1" applyFill="1" applyBorder="1" applyAlignment="1">
      <alignment horizontal="center"/>
    </xf>
    <xf numFmtId="165" fontId="3" fillId="9" borderId="21" xfId="0" applyNumberFormat="1" applyFont="1" applyFill="1" applyBorder="1" applyAlignment="1">
      <alignment horizontal="center"/>
    </xf>
    <xf numFmtId="165" fontId="3" fillId="9" borderId="30" xfId="0" applyNumberFormat="1" applyFont="1" applyFill="1" applyBorder="1" applyAlignment="1">
      <alignment horizontal="center"/>
    </xf>
    <xf numFmtId="165" fontId="3" fillId="9" borderId="31" xfId="0" applyNumberFormat="1" applyFont="1" applyFill="1" applyBorder="1" applyAlignment="1">
      <alignment horizontal="center"/>
    </xf>
    <xf numFmtId="0" fontId="3" fillId="10" borderId="13" xfId="0" applyFont="1" applyFill="1" applyBorder="1" applyAlignment="1">
      <alignment horizontal="center"/>
    </xf>
    <xf numFmtId="165" fontId="3" fillId="10" borderId="14" xfId="0" applyNumberFormat="1" applyFont="1" applyFill="1" applyBorder="1" applyAlignment="1">
      <alignment horizontal="center"/>
    </xf>
    <xf numFmtId="165" fontId="3" fillId="10" borderId="34" xfId="0" applyNumberFormat="1" applyFont="1" applyFill="1" applyBorder="1" applyAlignment="1">
      <alignment horizontal="center"/>
    </xf>
    <xf numFmtId="0" fontId="3" fillId="6" borderId="19" xfId="0" quotePrefix="1" applyFont="1" applyFill="1" applyBorder="1" applyAlignment="1">
      <alignment horizontal="center"/>
    </xf>
    <xf numFmtId="0" fontId="4" fillId="8" borderId="24" xfId="0" applyFont="1" applyFill="1" applyBorder="1" applyAlignment="1">
      <alignment horizontal="center" wrapText="1"/>
    </xf>
    <xf numFmtId="0" fontId="2" fillId="0" borderId="25" xfId="0" applyFont="1" applyBorder="1"/>
    <xf numFmtId="0" fontId="4" fillId="9" borderId="28" xfId="0" applyFont="1" applyFill="1" applyBorder="1" applyAlignment="1">
      <alignment horizontal="center"/>
    </xf>
    <xf numFmtId="0" fontId="2" fillId="0" borderId="29" xfId="0" applyFont="1" applyBorder="1"/>
    <xf numFmtId="0" fontId="4" fillId="10" borderId="32" xfId="0" applyFont="1" applyFill="1" applyBorder="1" applyAlignment="1">
      <alignment horizontal="center"/>
    </xf>
    <xf numFmtId="0" fontId="2" fillId="0" borderId="33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1" xfId="0" applyFont="1" applyBorder="1" applyAlignment="1">
      <alignment horizontal="center"/>
    </xf>
    <xf numFmtId="0" fontId="2" fillId="0" borderId="4" xfId="0" applyFont="1" applyBorder="1"/>
    <xf numFmtId="0" fontId="4" fillId="3" borderId="5" xfId="0" applyFont="1" applyFill="1" applyBorder="1" applyAlignment="1">
      <alignment horizontal="center" vertical="center"/>
    </xf>
    <xf numFmtId="0" fontId="2" fillId="0" borderId="11" xfId="0" applyFont="1" applyBorder="1"/>
    <xf numFmtId="0" fontId="4" fillId="3" borderId="6" xfId="0" applyFont="1" applyFill="1" applyBorder="1" applyAlignment="1">
      <alignment horizontal="center" vertical="center"/>
    </xf>
    <xf numFmtId="0" fontId="2" fillId="0" borderId="1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pt-PT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9518014793605342E-2"/>
          <c:y val="9.6400259909031852E-2"/>
          <c:w val="0.92598923158320623"/>
          <c:h val="0.77603597795889545"/>
        </c:manualLayout>
      </c:layout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Chart'!$D$5:$O$5</c:f>
              <c:strCache>
                <c:ptCount val="12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  <c:pt idx="6">
                  <c:v>Day 6</c:v>
                </c:pt>
                <c:pt idx="7">
                  <c:v>Day 7</c:v>
                </c:pt>
                <c:pt idx="8">
                  <c:v>Day 8</c:v>
                </c:pt>
                <c:pt idx="9">
                  <c:v>Day 9</c:v>
                </c:pt>
                <c:pt idx="10">
                  <c:v>Day 10</c:v>
                </c:pt>
                <c:pt idx="11">
                  <c:v>Day 11</c:v>
                </c:pt>
              </c:strCache>
            </c:strRef>
          </c:cat>
          <c:val>
            <c:numRef>
              <c:f>'Burndown Chart'!$D$20:$O$20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03-4FD7-8087-FD8C323B8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08022389"/>
        <c:axId val="802506122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Chart'!$D$5:$O$5</c:f>
              <c:strCache>
                <c:ptCount val="12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  <c:pt idx="6">
                  <c:v>Day 6</c:v>
                </c:pt>
                <c:pt idx="7">
                  <c:v>Day 7</c:v>
                </c:pt>
                <c:pt idx="8">
                  <c:v>Day 8</c:v>
                </c:pt>
                <c:pt idx="9">
                  <c:v>Day 9</c:v>
                </c:pt>
                <c:pt idx="10">
                  <c:v>Day 10</c:v>
                </c:pt>
                <c:pt idx="11">
                  <c:v>Day 11</c:v>
                </c:pt>
              </c:strCache>
            </c:strRef>
          </c:cat>
          <c:val>
            <c:numRef>
              <c:f>'Burndown Chart'!$D$21:$O$21</c:f>
              <c:numCache>
                <c:formatCode>0.0</c:formatCode>
                <c:ptCount val="12"/>
                <c:pt idx="0" formatCode="General">
                  <c:v>22</c:v>
                </c:pt>
                <c:pt idx="1">
                  <c:v>22</c:v>
                </c:pt>
                <c:pt idx="2">
                  <c:v>22</c:v>
                </c:pt>
                <c:pt idx="3">
                  <c:v>20</c:v>
                </c:pt>
                <c:pt idx="4">
                  <c:v>18</c:v>
                </c:pt>
                <c:pt idx="5">
                  <c:v>16</c:v>
                </c:pt>
                <c:pt idx="6">
                  <c:v>12</c:v>
                </c:pt>
                <c:pt idx="7">
                  <c:v>9</c:v>
                </c:pt>
                <c:pt idx="8">
                  <c:v>6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03-4FD7-8087-FD8C323B8F34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Chart'!$D$5:$O$5</c:f>
              <c:strCache>
                <c:ptCount val="12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  <c:pt idx="6">
                  <c:v>Day 6</c:v>
                </c:pt>
                <c:pt idx="7">
                  <c:v>Day 7</c:v>
                </c:pt>
                <c:pt idx="8">
                  <c:v>Day 8</c:v>
                </c:pt>
                <c:pt idx="9">
                  <c:v>Day 9</c:v>
                </c:pt>
                <c:pt idx="10">
                  <c:v>Day 10</c:v>
                </c:pt>
                <c:pt idx="11">
                  <c:v>Day 11</c:v>
                </c:pt>
              </c:strCache>
            </c:strRef>
          </c:cat>
          <c:val>
            <c:numRef>
              <c:f>'Burndown Chart'!$D$22:$O$22</c:f>
              <c:numCache>
                <c:formatCode>0.0</c:formatCode>
                <c:ptCount val="12"/>
                <c:pt idx="0" formatCode="General">
                  <c:v>22</c:v>
                </c:pt>
                <c:pt idx="1">
                  <c:v>19.8</c:v>
                </c:pt>
                <c:pt idx="2">
                  <c:v>17.600000000000001</c:v>
                </c:pt>
                <c:pt idx="3">
                  <c:v>15.399999999999999</c:v>
                </c:pt>
                <c:pt idx="4">
                  <c:v>13.2</c:v>
                </c:pt>
                <c:pt idx="5">
                  <c:v>11</c:v>
                </c:pt>
                <c:pt idx="6">
                  <c:v>8.7999999999999989</c:v>
                </c:pt>
                <c:pt idx="7">
                  <c:v>6.5999999999999979</c:v>
                </c:pt>
                <c:pt idx="8">
                  <c:v>6.5999999999999979</c:v>
                </c:pt>
                <c:pt idx="9">
                  <c:v>6.5999999999999979</c:v>
                </c:pt>
                <c:pt idx="10">
                  <c:v>6.5999999999999979</c:v>
                </c:pt>
                <c:pt idx="11">
                  <c:v>6.5999999999999979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03-4FD7-8087-FD8C323B8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8022389"/>
        <c:axId val="802506122"/>
      </c:lineChart>
      <c:catAx>
        <c:axId val="8080223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PT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PT"/>
          </a:p>
        </c:txPr>
        <c:crossAx val="802506122"/>
        <c:crosses val="autoZero"/>
        <c:auto val="1"/>
        <c:lblAlgn val="ctr"/>
        <c:lblOffset val="100"/>
        <c:noMultiLvlLbl val="1"/>
      </c:catAx>
      <c:valAx>
        <c:axId val="802506122"/>
        <c:scaling>
          <c:orientation val="minMax"/>
          <c:max val="3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sz="1000" b="0" i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PT"/>
          </a:p>
        </c:txPr>
        <c:crossAx val="808022389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pt-P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22</xdr:row>
      <xdr:rowOff>171450</xdr:rowOff>
    </xdr:from>
    <xdr:ext cx="9627534" cy="4871197"/>
    <xdr:graphicFrame macro="">
      <xdr:nvGraphicFramePr>
        <xdr:cNvPr id="492338904" name="Chart 1">
          <a:extLst>
            <a:ext uri="{FF2B5EF4-FFF2-40B4-BE49-F238E27FC236}">
              <a16:creationId xmlns:a16="http://schemas.microsoft.com/office/drawing/2014/main" id="{00000000-0008-0000-0000-0000D87E58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000"/>
  <sheetViews>
    <sheetView tabSelected="1" topLeftCell="C1" zoomScale="85" zoomScaleNormal="85" workbookViewId="0">
      <selection activeCell="C10" sqref="C10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4.42578125" customWidth="1"/>
    <col min="5" max="14" width="10" customWidth="1"/>
    <col min="15" max="26" width="8.7109375" customWidth="1"/>
  </cols>
  <sheetData>
    <row r="1" spans="2:15" ht="14.25" customHeight="1" thickBot="1" x14ac:dyDescent="0.3"/>
    <row r="2" spans="2:15" ht="14.25" customHeight="1" thickBot="1" x14ac:dyDescent="0.45"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9"/>
    </row>
    <row r="3" spans="2:15" ht="14.25" customHeight="1" thickBot="1" x14ac:dyDescent="0.3">
      <c r="B3" s="1"/>
      <c r="C3" s="2"/>
      <c r="D3" s="2"/>
      <c r="E3" s="50" t="s">
        <v>24</v>
      </c>
      <c r="F3" s="48"/>
      <c r="G3" s="48"/>
      <c r="H3" s="48"/>
      <c r="I3" s="51"/>
      <c r="J3" s="50" t="s">
        <v>25</v>
      </c>
      <c r="K3" s="48"/>
      <c r="L3" s="48"/>
      <c r="M3" s="48"/>
      <c r="N3" s="51"/>
    </row>
    <row r="4" spans="2:15" ht="14.25" customHeight="1" x14ac:dyDescent="0.25">
      <c r="B4" s="52" t="s">
        <v>1</v>
      </c>
      <c r="C4" s="54" t="s">
        <v>2</v>
      </c>
      <c r="D4" s="3" t="s">
        <v>3</v>
      </c>
      <c r="E4" s="4">
        <v>45985</v>
      </c>
      <c r="F4" s="5">
        <v>45986</v>
      </c>
      <c r="G4" s="5">
        <v>45987</v>
      </c>
      <c r="H4" s="5">
        <v>45988</v>
      </c>
      <c r="I4" s="6">
        <v>45989</v>
      </c>
      <c r="J4" s="4">
        <v>45990</v>
      </c>
      <c r="K4" s="5">
        <v>45991</v>
      </c>
      <c r="L4" s="5">
        <v>45992</v>
      </c>
      <c r="M4" s="5">
        <v>45993</v>
      </c>
      <c r="N4" s="5">
        <v>45994</v>
      </c>
      <c r="O4" s="5">
        <v>45995</v>
      </c>
    </row>
    <row r="5" spans="2:15" ht="14.25" customHeight="1" thickBot="1" x14ac:dyDescent="0.3">
      <c r="B5" s="53"/>
      <c r="C5" s="55"/>
      <c r="D5" s="7" t="s">
        <v>4</v>
      </c>
      <c r="E5" s="8" t="s">
        <v>5</v>
      </c>
      <c r="F5" s="9" t="s">
        <v>6</v>
      </c>
      <c r="G5" s="9" t="s">
        <v>7</v>
      </c>
      <c r="H5" s="9" t="s">
        <v>8</v>
      </c>
      <c r="I5" s="10" t="s">
        <v>9</v>
      </c>
      <c r="J5" s="8" t="s">
        <v>10</v>
      </c>
      <c r="K5" s="9" t="s">
        <v>11</v>
      </c>
      <c r="L5" s="9" t="s">
        <v>21</v>
      </c>
      <c r="M5" s="9" t="s">
        <v>22</v>
      </c>
      <c r="N5" s="9" t="s">
        <v>23</v>
      </c>
      <c r="O5" s="9" t="s">
        <v>26</v>
      </c>
    </row>
    <row r="6" spans="2:15" ht="14.25" customHeight="1" x14ac:dyDescent="0.25">
      <c r="B6" s="11">
        <v>1</v>
      </c>
      <c r="C6" s="12" t="s">
        <v>15</v>
      </c>
      <c r="D6" s="13">
        <v>5</v>
      </c>
      <c r="E6" s="14"/>
      <c r="F6" s="15"/>
      <c r="G6" s="15">
        <v>1</v>
      </c>
      <c r="H6" s="15">
        <v>1</v>
      </c>
      <c r="I6" s="16">
        <v>1</v>
      </c>
      <c r="J6" s="14">
        <v>2</v>
      </c>
      <c r="K6" s="15"/>
      <c r="L6" s="15"/>
      <c r="M6" s="15"/>
      <c r="N6" s="15"/>
      <c r="O6" s="15"/>
    </row>
    <row r="7" spans="2:15" ht="14.25" customHeight="1" x14ac:dyDescent="0.25">
      <c r="B7" s="17">
        <v>2</v>
      </c>
      <c r="C7" s="18" t="s">
        <v>17</v>
      </c>
      <c r="D7" s="19">
        <v>5</v>
      </c>
      <c r="E7" s="20"/>
      <c r="F7" s="21"/>
      <c r="G7" s="21">
        <v>1</v>
      </c>
      <c r="H7" s="21">
        <v>1</v>
      </c>
      <c r="I7" s="22">
        <v>1</v>
      </c>
      <c r="J7" s="23">
        <v>1</v>
      </c>
      <c r="K7" s="21">
        <v>1</v>
      </c>
      <c r="L7" s="21"/>
      <c r="M7" s="21"/>
      <c r="N7" s="21"/>
      <c r="O7" s="21"/>
    </row>
    <row r="8" spans="2:15" ht="14.25" customHeight="1" x14ac:dyDescent="0.25">
      <c r="B8" s="17">
        <v>3</v>
      </c>
      <c r="C8" s="18" t="s">
        <v>18</v>
      </c>
      <c r="D8" s="19">
        <v>3</v>
      </c>
      <c r="E8" s="24"/>
      <c r="F8" s="21"/>
      <c r="G8" s="21"/>
      <c r="H8" s="21"/>
      <c r="I8" s="22"/>
      <c r="J8" s="23"/>
      <c r="K8" s="21">
        <v>1</v>
      </c>
      <c r="L8" s="21">
        <v>2</v>
      </c>
      <c r="M8" s="21"/>
      <c r="N8" s="21"/>
      <c r="O8" s="21"/>
    </row>
    <row r="9" spans="2:15" ht="14.25" customHeight="1" x14ac:dyDescent="0.25">
      <c r="B9" s="17">
        <v>4</v>
      </c>
      <c r="C9" s="18" t="s">
        <v>19</v>
      </c>
      <c r="D9" s="40">
        <v>6</v>
      </c>
      <c r="E9" s="25"/>
      <c r="F9" s="21"/>
      <c r="G9" s="21"/>
      <c r="H9" s="21"/>
      <c r="I9" s="22"/>
      <c r="J9" s="23">
        <v>1</v>
      </c>
      <c r="K9" s="21">
        <v>1</v>
      </c>
      <c r="L9" s="21">
        <v>1</v>
      </c>
      <c r="M9" s="21">
        <v>2</v>
      </c>
      <c r="N9" s="21">
        <v>1</v>
      </c>
      <c r="O9" s="21"/>
    </row>
    <row r="10" spans="2:15" ht="14.25" customHeight="1" x14ac:dyDescent="0.25">
      <c r="B10" s="17">
        <v>5</v>
      </c>
      <c r="C10" s="18" t="s">
        <v>20</v>
      </c>
      <c r="D10" s="19">
        <v>3</v>
      </c>
      <c r="E10" s="23"/>
      <c r="F10" s="21"/>
      <c r="G10" s="21"/>
      <c r="H10" s="21"/>
      <c r="I10" s="22"/>
      <c r="J10" s="23"/>
      <c r="K10" s="21"/>
      <c r="L10" s="21" t="s">
        <v>16</v>
      </c>
      <c r="M10" s="21">
        <v>1</v>
      </c>
      <c r="N10" s="21" t="s">
        <v>27</v>
      </c>
      <c r="O10" s="21"/>
    </row>
    <row r="11" spans="2:15" ht="14.25" customHeight="1" x14ac:dyDescent="0.25">
      <c r="B11" s="17">
        <v>6</v>
      </c>
      <c r="C11" s="18"/>
      <c r="D11" s="19"/>
      <c r="E11" s="23"/>
      <c r="F11" s="21"/>
      <c r="G11" s="21"/>
      <c r="H11" s="21"/>
      <c r="I11" s="22"/>
      <c r="J11" s="23"/>
      <c r="K11" s="21"/>
      <c r="L11" s="21"/>
      <c r="M11" s="21"/>
      <c r="N11" s="21"/>
      <c r="O11" s="21"/>
    </row>
    <row r="12" spans="2:15" ht="14.25" customHeight="1" x14ac:dyDescent="0.25">
      <c r="B12" s="17">
        <v>7</v>
      </c>
      <c r="C12" s="18"/>
      <c r="D12" s="19"/>
      <c r="E12" s="23"/>
      <c r="F12" s="21"/>
      <c r="G12" s="21"/>
      <c r="H12" s="21"/>
      <c r="I12" s="22"/>
      <c r="J12" s="23"/>
      <c r="K12" s="21"/>
      <c r="L12" s="21"/>
      <c r="M12" s="21"/>
      <c r="N12" s="21"/>
      <c r="O12" s="21"/>
    </row>
    <row r="13" spans="2:15" ht="14.25" customHeight="1" x14ac:dyDescent="0.25">
      <c r="B13" s="17">
        <v>8</v>
      </c>
      <c r="C13" s="18"/>
      <c r="D13" s="19"/>
      <c r="E13" s="23"/>
      <c r="F13" s="21"/>
      <c r="G13" s="21"/>
      <c r="H13" s="21"/>
      <c r="I13" s="22"/>
      <c r="J13" s="23"/>
      <c r="K13" s="21"/>
      <c r="L13" s="21"/>
      <c r="M13" s="21"/>
      <c r="N13" s="21"/>
      <c r="O13" s="21"/>
    </row>
    <row r="14" spans="2:15" ht="14.25" customHeight="1" x14ac:dyDescent="0.25">
      <c r="B14" s="17">
        <v>9</v>
      </c>
      <c r="C14" s="18"/>
      <c r="D14" s="19"/>
      <c r="E14" s="23"/>
      <c r="F14" s="21"/>
      <c r="G14" s="21"/>
      <c r="H14" s="21"/>
      <c r="I14" s="22"/>
      <c r="J14" s="23"/>
      <c r="K14" s="21"/>
      <c r="L14" s="21"/>
      <c r="M14" s="21"/>
      <c r="N14" s="21"/>
      <c r="O14" s="21"/>
    </row>
    <row r="15" spans="2:15" ht="14.25" customHeight="1" x14ac:dyDescent="0.25">
      <c r="B15" s="17">
        <v>10</v>
      </c>
      <c r="C15" s="18"/>
      <c r="D15" s="19"/>
      <c r="E15" s="23"/>
      <c r="F15" s="21"/>
      <c r="G15" s="21"/>
      <c r="H15" s="21"/>
      <c r="I15" s="22"/>
      <c r="J15" s="23"/>
      <c r="K15" s="21"/>
      <c r="L15" s="21"/>
      <c r="M15" s="21"/>
      <c r="N15" s="21"/>
      <c r="O15" s="21"/>
    </row>
    <row r="16" spans="2:15" ht="14.25" customHeight="1" x14ac:dyDescent="0.25">
      <c r="B16" s="17">
        <v>11</v>
      </c>
      <c r="C16" s="26"/>
      <c r="D16" s="19"/>
      <c r="E16" s="23"/>
      <c r="F16" s="21"/>
      <c r="G16" s="21"/>
      <c r="H16" s="21"/>
      <c r="I16" s="22"/>
      <c r="J16" s="23"/>
      <c r="K16" s="21"/>
      <c r="L16" s="21"/>
      <c r="M16" s="21"/>
      <c r="N16" s="21"/>
      <c r="O16" s="21"/>
    </row>
    <row r="17" spans="2:15" ht="14.25" customHeight="1" x14ac:dyDescent="0.25">
      <c r="B17" s="17">
        <v>12</v>
      </c>
      <c r="C17" s="18"/>
      <c r="D17" s="19"/>
      <c r="E17" s="23"/>
      <c r="F17" s="21"/>
      <c r="G17" s="21"/>
      <c r="H17" s="21"/>
      <c r="I17" s="22"/>
      <c r="J17" s="23"/>
      <c r="K17" s="21"/>
      <c r="L17" s="21"/>
      <c r="M17" s="21"/>
      <c r="N17" s="21"/>
      <c r="O17" s="21"/>
    </row>
    <row r="18" spans="2:15" ht="14.25" customHeight="1" x14ac:dyDescent="0.25">
      <c r="B18" s="17">
        <v>13</v>
      </c>
      <c r="C18" s="18"/>
      <c r="D18" s="19"/>
      <c r="E18" s="23"/>
      <c r="F18" s="21"/>
      <c r="G18" s="21"/>
      <c r="H18" s="21"/>
      <c r="I18" s="22"/>
      <c r="J18" s="23"/>
      <c r="K18" s="21"/>
      <c r="L18" s="21"/>
      <c r="M18" s="21"/>
      <c r="N18" s="21"/>
      <c r="O18" s="21"/>
    </row>
    <row r="19" spans="2:15" ht="14.25" customHeight="1" thickBot="1" x14ac:dyDescent="0.3">
      <c r="B19" s="17">
        <v>14</v>
      </c>
      <c r="C19" s="18"/>
      <c r="D19" s="19"/>
      <c r="E19" s="23"/>
      <c r="F19" s="21"/>
      <c r="G19" s="21"/>
      <c r="H19" s="21"/>
      <c r="I19" s="22"/>
      <c r="J19" s="23"/>
      <c r="K19" s="21"/>
      <c r="L19" s="21"/>
      <c r="M19" s="21"/>
      <c r="N19" s="21"/>
      <c r="O19" s="21"/>
    </row>
    <row r="20" spans="2:15" ht="14.25" customHeight="1" x14ac:dyDescent="0.25">
      <c r="B20" s="41" t="s">
        <v>12</v>
      </c>
      <c r="C20" s="42"/>
      <c r="D20" s="27">
        <v>0</v>
      </c>
      <c r="E20" s="28">
        <f t="shared" ref="E20:K20" si="0">SUM(E6:E19)</f>
        <v>0</v>
      </c>
      <c r="F20" s="29">
        <f t="shared" si="0"/>
        <v>0</v>
      </c>
      <c r="G20" s="29">
        <f t="shared" si="0"/>
        <v>2</v>
      </c>
      <c r="H20" s="29">
        <f t="shared" si="0"/>
        <v>2</v>
      </c>
      <c r="I20" s="30">
        <f t="shared" si="0"/>
        <v>2</v>
      </c>
      <c r="J20" s="28">
        <f t="shared" si="0"/>
        <v>4</v>
      </c>
      <c r="K20" s="29">
        <f t="shared" si="0"/>
        <v>3</v>
      </c>
      <c r="L20" s="29">
        <f t="shared" ref="L20:N20" si="1">SUM(L6:L19)</f>
        <v>3</v>
      </c>
      <c r="M20" s="29">
        <f t="shared" si="1"/>
        <v>3</v>
      </c>
      <c r="N20" s="29">
        <f t="shared" si="1"/>
        <v>1</v>
      </c>
      <c r="O20" s="29">
        <f t="shared" ref="O20" si="2">SUM(O6:O19)</f>
        <v>0</v>
      </c>
    </row>
    <row r="21" spans="2:15" ht="14.25" customHeight="1" x14ac:dyDescent="0.25">
      <c r="B21" s="43" t="s">
        <v>13</v>
      </c>
      <c r="C21" s="44"/>
      <c r="D21" s="31">
        <f>SUM(D6:D20)</f>
        <v>22</v>
      </c>
      <c r="E21" s="32">
        <f t="shared" ref="E21:K21" si="3">D21-SUM(E6:E19)</f>
        <v>22</v>
      </c>
      <c r="F21" s="33">
        <f t="shared" si="3"/>
        <v>22</v>
      </c>
      <c r="G21" s="33">
        <f t="shared" si="3"/>
        <v>20</v>
      </c>
      <c r="H21" s="33">
        <f t="shared" si="3"/>
        <v>18</v>
      </c>
      <c r="I21" s="34">
        <f t="shared" si="3"/>
        <v>16</v>
      </c>
      <c r="J21" s="35">
        <f t="shared" si="3"/>
        <v>12</v>
      </c>
      <c r="K21" s="36">
        <f t="shared" si="3"/>
        <v>9</v>
      </c>
      <c r="L21" s="36">
        <f t="shared" ref="L21" si="4">K21-SUM(L6:L19)</f>
        <v>6</v>
      </c>
      <c r="M21" s="36">
        <f t="shared" ref="M21" si="5">L21-SUM(M6:M19)</f>
        <v>3</v>
      </c>
      <c r="N21" s="36">
        <f t="shared" ref="N21:O21" si="6">M21-SUM(N6:N19)</f>
        <v>2</v>
      </c>
      <c r="O21" s="36">
        <f t="shared" si="6"/>
        <v>2</v>
      </c>
    </row>
    <row r="22" spans="2:15" ht="14.25" customHeight="1" thickBot="1" x14ac:dyDescent="0.3">
      <c r="B22" s="45" t="s">
        <v>14</v>
      </c>
      <c r="C22" s="46"/>
      <c r="D22" s="37">
        <f>D21</f>
        <v>22</v>
      </c>
      <c r="E22" s="38">
        <f>$D$22-($D$22/10*1)</f>
        <v>19.8</v>
      </c>
      <c r="F22" s="38">
        <f>$D$22-($D$22/10*2)</f>
        <v>17.600000000000001</v>
      </c>
      <c r="G22" s="38">
        <f>$D$22-($D$22/10*3)</f>
        <v>15.399999999999999</v>
      </c>
      <c r="H22" s="38">
        <f>$D$22-($D$22/10*4)</f>
        <v>13.2</v>
      </c>
      <c r="I22" s="39">
        <f>$D$22-($D$22/10*5)</f>
        <v>11</v>
      </c>
      <c r="J22" s="38">
        <f>$D$22-($D$22/10*6)</f>
        <v>8.7999999999999989</v>
      </c>
      <c r="K22" s="38">
        <f>$D$22-($D$22/10*7)</f>
        <v>6.5999999999999979</v>
      </c>
      <c r="L22" s="38">
        <f t="shared" ref="L22:O22" si="7">$D$22-($D$22/10*7)</f>
        <v>6.5999999999999979</v>
      </c>
      <c r="M22" s="38">
        <f t="shared" si="7"/>
        <v>6.5999999999999979</v>
      </c>
      <c r="N22" s="38">
        <f t="shared" si="7"/>
        <v>6.5999999999999979</v>
      </c>
      <c r="O22" s="38">
        <f t="shared" si="7"/>
        <v>6.5999999999999979</v>
      </c>
    </row>
    <row r="23" spans="2:15" ht="14.25" customHeight="1" x14ac:dyDescent="0.25"/>
    <row r="24" spans="2:15" ht="14.25" customHeight="1" x14ac:dyDescent="0.25"/>
    <row r="25" spans="2:15" ht="14.25" customHeight="1" x14ac:dyDescent="0.25"/>
    <row r="26" spans="2:15" ht="14.25" customHeight="1" x14ac:dyDescent="0.25"/>
    <row r="27" spans="2:15" ht="14.25" customHeight="1" x14ac:dyDescent="0.25"/>
    <row r="28" spans="2:15" ht="14.25" customHeight="1" x14ac:dyDescent="0.25"/>
    <row r="29" spans="2:15" ht="14.25" customHeight="1" x14ac:dyDescent="0.25"/>
    <row r="30" spans="2:15" ht="14.25" customHeight="1" x14ac:dyDescent="0.25"/>
    <row r="31" spans="2:15" ht="14.25" customHeight="1" x14ac:dyDescent="0.25"/>
    <row r="32" spans="2:15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8">
    <mergeCell ref="B20:C20"/>
    <mergeCell ref="B21:C21"/>
    <mergeCell ref="B22:C22"/>
    <mergeCell ref="B2:N2"/>
    <mergeCell ref="E3:I3"/>
    <mergeCell ref="B4:B5"/>
    <mergeCell ref="C4:C5"/>
    <mergeCell ref="J3:N3"/>
  </mergeCells>
  <phoneticPr fontId="5" type="noConversion"/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Diogo Almeida</dc:creator>
  <cp:lastModifiedBy>Tomás Silva</cp:lastModifiedBy>
  <dcterms:created xsi:type="dcterms:W3CDTF">2021-11-14T17:33:15Z</dcterms:created>
  <dcterms:modified xsi:type="dcterms:W3CDTF">2025-12-03T14:47:44Z</dcterms:modified>
</cp:coreProperties>
</file>